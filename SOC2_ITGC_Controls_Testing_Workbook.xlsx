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Controls Matrix" sheetId="2" state="visible" r:id="rId4"/>
    <sheet name="Risk &amp; Findings Log" sheetId="3" state="visible" r:id="rId5"/>
    <sheet name="Summary 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<sst xmlns="http://schemas.openxmlformats.org/spreadsheetml/2006/main" count="366" uniqueCount="251">
  <si>
    <t xml:space="preserve">Meridian Health Partners</t>
  </si>
  <si>
    <t xml:space="preserve">SOC 2 Type II Readiness Audit — IT General Controls Testing Workbook</t>
  </si>
  <si>
    <t xml:space="preserve">Trust Services Criteria: Security (Common Criteria), Availability, Confidentiality</t>
  </si>
  <si>
    <t xml:space="preserve">Audit Period:</t>
  </si>
  <si>
    <t xml:space="preserve">01/01/2026 – 06/30/2026</t>
  </si>
  <si>
    <t xml:space="preserve">Engagement Type:</t>
  </si>
  <si>
    <t xml:space="preserve">Readiness Assessment (pre-Type II)</t>
  </si>
  <si>
    <t xml:space="preserve">Prepared By:</t>
  </si>
  <si>
    <t xml:space="preserve">Carla Bee, CMB Enterprise Group LLC — GRC/IT Audit Practice</t>
  </si>
  <si>
    <t xml:space="preserve">Report Date:</t>
  </si>
  <si>
    <t xml:space="preserve">July 1, 2026</t>
  </si>
  <si>
    <t xml:space="preserve">Framework Reference:</t>
  </si>
  <si>
    <t xml:space="preserve">AICPA TSC 2017 (with 2022 revisions); mapped to NIST SP 800-53 Rev. 5</t>
  </si>
  <si>
    <t xml:space="preserve">Classification:</t>
  </si>
  <si>
    <t xml:space="preserve">Confidential — Portfolio / Demonstration Document (Mock Company)</t>
  </si>
  <si>
    <t xml:space="preserve">How to use this workbook</t>
  </si>
  <si>
    <t xml:space="preserve">1. Controls Matrix — one row per control. Enter test results and evidence references as testing is performed.</t>
  </si>
  <si>
    <t xml:space="preserve">2. Risk &amp; Findings Log — exceptions identified during testing, rated by likelihood/impact, with remediation owners and dates.</t>
  </si>
  <si>
    <t xml:space="preserve">3. Summary Dashboard — auto-calculated pass rate and open findings by risk rating (formulas driven off the two tabs above).</t>
  </si>
  <si>
    <t xml:space="preserve">4. Color key: Green = Pass / Low risk, Yellow = Pass with exception / Medium risk, Red = Fail / High risk.</t>
  </si>
  <si>
    <t xml:space="preserve">IT General Controls — Testing Matrix</t>
  </si>
  <si>
    <t xml:space="preserve">SOC 2 Common Criteria (CC1–CC9), Availability (A1), Confidentiality (C1)</t>
  </si>
  <si>
    <t xml:space="preserve">Control ID</t>
  </si>
  <si>
    <t xml:space="preserve">TSC Category</t>
  </si>
  <si>
    <t xml:space="preserve">Control Objective</t>
  </si>
  <si>
    <t xml:space="preserve">Control Description</t>
  </si>
  <si>
    <t xml:space="preserve">Test Procedure Performed</t>
  </si>
  <si>
    <t xml:space="preserve">Sample Size</t>
  </si>
  <si>
    <t xml:space="preserve">Test Result</t>
  </si>
  <si>
    <t xml:space="preserve">Evidence Reference</t>
  </si>
  <si>
    <t xml:space="preserve">Exception Noted?</t>
  </si>
  <si>
    <t xml:space="preserve">Control Owner</t>
  </si>
  <si>
    <t xml:space="preserve">Tester</t>
  </si>
  <si>
    <t xml:space="preserve">Test Date</t>
  </si>
  <si>
    <t xml:space="preserve">CC1.1</t>
  </si>
  <si>
    <t xml:space="preserve">CC1 - Control Environment</t>
  </si>
  <si>
    <t xml:space="preserve">Integrity &amp; ethical values</t>
  </si>
  <si>
    <t xml:space="preserve">Code of conduct and acceptable use policy signed annually by all workforce members.</t>
  </si>
  <si>
    <t xml:space="preserve">Inspected signed attestations for a sample of 25 employees from HRIS; confirmed annual renewal cadence.</t>
  </si>
  <si>
    <t xml:space="preserve">Pass</t>
  </si>
  <si>
    <t xml:space="preserve">HR-ATT-001 through 025</t>
  </si>
  <si>
    <t xml:space="preserve">No</t>
  </si>
  <si>
    <t xml:space="preserve">HR Director</t>
  </si>
  <si>
    <t xml:space="preserve">C. Bee</t>
  </si>
  <si>
    <t xml:space="preserve">2026-02-10</t>
  </si>
  <si>
    <t xml:space="preserve">CC1.2</t>
  </si>
  <si>
    <t xml:space="preserve">Board / oversight independence</t>
  </si>
  <si>
    <t xml:space="preserve">Audit &amp; Compliance Committee charter defines independent oversight of security program.</t>
  </si>
  <si>
    <t xml:space="preserve">Reviewed charter and Q1/Q2 committee minutes for evidence of security program review.</t>
  </si>
  <si>
    <t xml:space="preserve">GOV-MIN-Q1, GOV-MIN-Q2</t>
  </si>
  <si>
    <t xml:space="preserve">Compliance Officer</t>
  </si>
  <si>
    <t xml:space="preserve">CC2.1</t>
  </si>
  <si>
    <t xml:space="preserve">CC2 - Communication</t>
  </si>
  <si>
    <t xml:space="preserve">Internal security communication</t>
  </si>
  <si>
    <t xml:space="preserve">Security policies published to intranet; onboarding includes security awareness training.</t>
  </si>
  <si>
    <t xml:space="preserve">Sampled 20 new hires (last 6 months); confirmed training completion in LMS within 14 days of start.</t>
  </si>
  <si>
    <t xml:space="preserve">LMS-EXP-014</t>
  </si>
  <si>
    <t xml:space="preserve">Security Awareness Lead</t>
  </si>
  <si>
    <t xml:space="preserve">2026-02-11</t>
  </si>
  <si>
    <t xml:space="preserve">CC3.1</t>
  </si>
  <si>
    <t xml:space="preserve">CC3 - Risk Assessment</t>
  </si>
  <si>
    <t xml:space="preserve">Formal risk assessment process</t>
  </si>
  <si>
    <t xml:space="preserve">Enterprise risk assessment performed annually; risk register maintained and reviewed quarterly.</t>
  </si>
  <si>
    <t xml:space="preserve">Reviewed FY2026 risk assessment report and Q1/Q2 risk register updates.</t>
  </si>
  <si>
    <t xml:space="preserve">Pass with Exception</t>
  </si>
  <si>
    <t xml:space="preserve">RISK-REG-2026</t>
  </si>
  <si>
    <t xml:space="preserve">Yes</t>
  </si>
  <si>
    <t xml:space="preserve">CISO</t>
  </si>
  <si>
    <t xml:space="preserve">2026-02-12</t>
  </si>
  <si>
    <t xml:space="preserve">CC4.1</t>
  </si>
  <si>
    <t xml:space="preserve">CC4 - Monitoring Activities</t>
  </si>
  <si>
    <t xml:space="preserve">Ongoing control monitoring</t>
  </si>
  <si>
    <t xml:space="preserve">SIEM alerts and monthly control self-assessments reviewed by security team.</t>
  </si>
  <si>
    <t xml:space="preserve">Reviewed 6 months of monthly control self-assessment reports and sampled 10 SIEM alert tickets for disposition.</t>
  </si>
  <si>
    <t xml:space="preserve">SIEM-TIX sample</t>
  </si>
  <si>
    <t xml:space="preserve">SOC Manager</t>
  </si>
  <si>
    <t xml:space="preserve">2026-02-13</t>
  </si>
  <si>
    <t xml:space="preserve">CC5.1</t>
  </si>
  <si>
    <t xml:space="preserve">CC5 - Control Activities</t>
  </si>
  <si>
    <t xml:space="preserve">Segregation of duties</t>
  </si>
  <si>
    <t xml:space="preserve">Change management and production access are segregated between development and operations teams.</t>
  </si>
  <si>
    <t xml:space="preserve">Reviewed access role matrix and change tickets; confirmed no developer had standalone production deploy rights.</t>
  </si>
  <si>
    <t xml:space="preserve">IAM-ROLE-MTX</t>
  </si>
  <si>
    <t xml:space="preserve">IT Operations Manager</t>
  </si>
  <si>
    <t xml:space="preserve">2026-02-14</t>
  </si>
  <si>
    <t xml:space="preserve">CC6.1</t>
  </si>
  <si>
    <t xml:space="preserve">CC6 - Logical Access</t>
  </si>
  <si>
    <t xml:space="preserve">User access provisioning</t>
  </si>
  <si>
    <t xml:space="preserve">Access requests require manager approval and are provisioned per least-privilege role templates.</t>
  </si>
  <si>
    <t xml:space="preserve">Sampled 25 new user access requests; traced to approval workflow and role template assignment.</t>
  </si>
  <si>
    <t xml:space="preserve">IAM-REQ sample</t>
  </si>
  <si>
    <t xml:space="preserve">IAM Administrator</t>
  </si>
  <si>
    <t xml:space="preserve">2026-02-17</t>
  </si>
  <si>
    <t xml:space="preserve">CC6.2</t>
  </si>
  <si>
    <t xml:space="preserve">Access deprovisioning (termination)</t>
  </si>
  <si>
    <t xml:space="preserve">User access is disabled within 24 hours of termination per HR-initiated ticket.</t>
  </si>
  <si>
    <t xml:space="preserve">Sampled 15 terminations over audit period; compared termination date to account disable timestamp in AD.</t>
  </si>
  <si>
    <t xml:space="preserve">AD-DISABLE-LOG</t>
  </si>
  <si>
    <t xml:space="preserve">CC6.3</t>
  </si>
  <si>
    <t xml:space="preserve">Privileged access review</t>
  </si>
  <si>
    <t xml:space="preserve">Quarterly access recertification for privileged/admin accounts performed by system owners.</t>
  </si>
  <si>
    <t xml:space="preserve">Reviewed Q1 and Q2 recertification campaigns and sign-off evidence for 8 privileged accounts.</t>
  </si>
  <si>
    <t xml:space="preserve">ACCESS-RECERT-Q1Q2</t>
  </si>
  <si>
    <t xml:space="preserve">System Owners</t>
  </si>
  <si>
    <t xml:space="preserve">2026-02-18</t>
  </si>
  <si>
    <t xml:space="preserve">CC6.6</t>
  </si>
  <si>
    <t xml:space="preserve">Multi-factor authentication</t>
  </si>
  <si>
    <t xml:space="preserve">MFA is enforced for all remote access and administrative console access.</t>
  </si>
  <si>
    <t xml:space="preserve">Reviewed Azure AD Conditional Access policy configuration and tested enforcement on 5 admin accounts.</t>
  </si>
  <si>
    <t xml:space="preserve">CA-POLICY-EXPORT</t>
  </si>
  <si>
    <t xml:space="preserve">CC6.7</t>
  </si>
  <si>
    <t xml:space="preserve">Data transmission controls</t>
  </si>
  <si>
    <t xml:space="preserve">Data in transit is encrypted via TLS 1.2+ for all external-facing applications.</t>
  </si>
  <si>
    <t xml:space="preserve">Reviewed TLS configuration scan (Qualys SSL Labs) for 6 production endpoints.</t>
  </si>
  <si>
    <t xml:space="preserve">TLS-SCAN-RESULTS</t>
  </si>
  <si>
    <t xml:space="preserve">Network Engineering</t>
  </si>
  <si>
    <t xml:space="preserve">2026-02-19</t>
  </si>
  <si>
    <t xml:space="preserve">CC6.8</t>
  </si>
  <si>
    <t xml:space="preserve">Malware / endpoint protection</t>
  </si>
  <si>
    <t xml:space="preserve">EDR agent deployed and reporting on all corporate endpoints; alerts triaged within SLA.</t>
  </si>
  <si>
    <t xml:space="preserve">Reviewed EDR console coverage report and sampled 12 alerts for triage timeliness.</t>
  </si>
  <si>
    <t xml:space="preserve">EDR-COVERAGE-RPT</t>
  </si>
  <si>
    <t xml:space="preserve">CC7.1</t>
  </si>
  <si>
    <t xml:space="preserve">CC7 - System Operations</t>
  </si>
  <si>
    <t xml:space="preserve">Vulnerability management</t>
  </si>
  <si>
    <t xml:space="preserve">Vulnerability scans performed monthly; critical findings remediated within 30 days.</t>
  </si>
  <si>
    <t xml:space="preserve">Reviewed 6 months of scan reports; sampled 10 critical findings and traced to remediation ticket closure date.</t>
  </si>
  <si>
    <t xml:space="preserve">VULN-SCAN sample</t>
  </si>
  <si>
    <t xml:space="preserve">Vulnerability Mgmt Lead</t>
  </si>
  <si>
    <t xml:space="preserve">2026-02-20</t>
  </si>
  <si>
    <t xml:space="preserve">CC7.2</t>
  </si>
  <si>
    <t xml:space="preserve">Security incident response</t>
  </si>
  <si>
    <t xml:space="preserve">Documented incident response plan tested via tabletop exercise; incidents logged and root-caused.</t>
  </si>
  <si>
    <t xml:space="preserve">Reviewed IR plan, most recent tabletop exercise report, and 4 incident tickets from the period.</t>
  </si>
  <si>
    <t xml:space="preserve">IR-TABLETOP-2026</t>
  </si>
  <si>
    <t xml:space="preserve">CC7.3</t>
  </si>
  <si>
    <t xml:space="preserve">Change management</t>
  </si>
  <si>
    <t xml:space="preserve">Production changes require documented approval, testing evidence, and rollback plan prior to deployment.</t>
  </si>
  <si>
    <t xml:space="preserve">Sampled 20 production changes; traced to CAB approval, test evidence, and rollback documentation.</t>
  </si>
  <si>
    <t xml:space="preserve">CHG-TICKET sample</t>
  </si>
  <si>
    <t xml:space="preserve">Change Manager</t>
  </si>
  <si>
    <t xml:space="preserve">2026-02-21</t>
  </si>
  <si>
    <t xml:space="preserve">CC8.1</t>
  </si>
  <si>
    <t xml:space="preserve">CC8 - Change Management</t>
  </si>
  <si>
    <t xml:space="preserve">Emergency change controls</t>
  </si>
  <si>
    <t xml:space="preserve">Emergency changes are permitted with post-implementation review within 5 business days.</t>
  </si>
  <si>
    <t xml:space="preserve">Sampled 6 emergency changes; confirmed retrospective CAB review occurred within SLA.</t>
  </si>
  <si>
    <t xml:space="preserve">EMRG-CHG sample</t>
  </si>
  <si>
    <t xml:space="preserve">CC9.1</t>
  </si>
  <si>
    <t xml:space="preserve">CC9 - Risk Mitigation</t>
  </si>
  <si>
    <t xml:space="preserve">Vendor / third-party risk management</t>
  </si>
  <si>
    <t xml:space="preserve">Critical vendors undergo security due diligence and annual reassessment (SOC 2 report collection).</t>
  </si>
  <si>
    <t xml:space="preserve">Reviewed vendor risk register and SOC 2 report collection status for 8 critical vendors.</t>
  </si>
  <si>
    <t xml:space="preserve">VENDOR-RISK-REG</t>
  </si>
  <si>
    <t xml:space="preserve">Vendor Risk Manager</t>
  </si>
  <si>
    <t xml:space="preserve">2026-02-24</t>
  </si>
  <si>
    <t xml:space="preserve">A1.1</t>
  </si>
  <si>
    <t xml:space="preserve">A1 - Availability</t>
  </si>
  <si>
    <t xml:space="preserve">Backup and recovery</t>
  </si>
  <si>
    <t xml:space="preserve">Production databases backed up nightly with quarterly restoration testing.</t>
  </si>
  <si>
    <t xml:space="preserve">Reviewed backup job logs (90 days) and Q2 restoration test results.</t>
  </si>
  <si>
    <t xml:space="preserve">BACKUP-LOG-Q2</t>
  </si>
  <si>
    <t xml:space="preserve">2026-02-25</t>
  </si>
  <si>
    <t xml:space="preserve">A1.2</t>
  </si>
  <si>
    <t xml:space="preserve">Capacity monitoring</t>
  </si>
  <si>
    <t xml:space="preserve">Infrastructure capacity and performance monitored with automated alerting thresholds.</t>
  </si>
  <si>
    <t xml:space="preserve">Reviewed monitoring dashboard configuration and 3 capacity-related alert tickets.</t>
  </si>
  <si>
    <t xml:space="preserve">MON-DASH-CONFIG</t>
  </si>
  <si>
    <t xml:space="preserve">Infrastructure Team</t>
  </si>
  <si>
    <t xml:space="preserve">A1.3</t>
  </si>
  <si>
    <t xml:space="preserve">Disaster recovery testing</t>
  </si>
  <si>
    <t xml:space="preserve">Annual DR test performed with documented RTO/RPO validation.</t>
  </si>
  <si>
    <t xml:space="preserve">Reviewed FY2026 DR test plan, execution report, and RTO/RPO results vs. targets.</t>
  </si>
  <si>
    <t xml:space="preserve">DR-TEST-2026</t>
  </si>
  <si>
    <t xml:space="preserve">2026-02-26</t>
  </si>
  <si>
    <t xml:space="preserve">C1.1</t>
  </si>
  <si>
    <t xml:space="preserve">C1 - Confidentiality</t>
  </si>
  <si>
    <t xml:space="preserve">Data classification &amp; handling</t>
  </si>
  <si>
    <t xml:space="preserve">PHI/PII data is classified and handled per data classification policy; encrypted at rest (AES-256).</t>
  </si>
  <si>
    <t xml:space="preserve">Reviewed data classification policy and encryption configuration for 4 databases containing PHI.</t>
  </si>
  <si>
    <t xml:space="preserve">DB-ENCRYPT-CONFIG</t>
  </si>
  <si>
    <t xml:space="preserve">Data Governance Lead</t>
  </si>
  <si>
    <t xml:space="preserve">2026-02-27</t>
  </si>
  <si>
    <t xml:space="preserve">C1.2</t>
  </si>
  <si>
    <t xml:space="preserve">Confidential data disposal</t>
  </si>
  <si>
    <t xml:space="preserve">Media and records containing confidential data are securely destroyed per retention/disposal policy.</t>
  </si>
  <si>
    <t xml:space="preserve">Reviewed certificates of destruction for 5 decommissioned assets during the period.</t>
  </si>
  <si>
    <t xml:space="preserve">COD sample</t>
  </si>
  <si>
    <t xml:space="preserve">IT Asset Manager</t>
  </si>
  <si>
    <t xml:space="preserve">Risk &amp; Findings Log</t>
  </si>
  <si>
    <t xml:space="preserve">Exceptions identified during control testing, rated and tracked to remediation</t>
  </si>
  <si>
    <t xml:space="preserve">Finding ID</t>
  </si>
  <si>
    <t xml:space="preserve">Related Control</t>
  </si>
  <si>
    <t xml:space="preserve">Finding Description</t>
  </si>
  <si>
    <t xml:space="preserve">Risk Rating</t>
  </si>
  <si>
    <t xml:space="preserve">Likelihood</t>
  </si>
  <si>
    <t xml:space="preserve">Impact</t>
  </si>
  <si>
    <t xml:space="preserve">Root Cause</t>
  </si>
  <si>
    <t xml:space="preserve">Recommendation</t>
  </si>
  <si>
    <t xml:space="preserve">Management Response</t>
  </si>
  <si>
    <t xml:space="preserve">Remediation Owner</t>
  </si>
  <si>
    <t xml:space="preserve">Target Date</t>
  </si>
  <si>
    <t xml:space="preserve">Status</t>
  </si>
  <si>
    <t xml:space="preserve">F-01</t>
  </si>
  <si>
    <t xml:space="preserve">Enterprise risk assessment identifies risks but does not consistently assign a documented risk owner or re-assessment date for medium-rated risks.</t>
  </si>
  <si>
    <t xml:space="preserve">Medium</t>
  </si>
  <si>
    <t xml:space="preserve">Possible</t>
  </si>
  <si>
    <t xml:space="preserve">Moderate</t>
  </si>
  <si>
    <t xml:space="preserve">Risk register template lacks required fields for ownership/re-assessment cadence.</t>
  </si>
  <si>
    <t xml:space="preserve">Update risk register template to require risk owner and next review date for all open risks; backfill existing medium/high risks within 30 days.</t>
  </si>
  <si>
    <t xml:space="preserve">Agreed. Risk register template to be updated by Compliance by 8/15/2026.</t>
  </si>
  <si>
    <t xml:space="preserve">2026-08-15</t>
  </si>
  <si>
    <t xml:space="preserve">Open</t>
  </si>
  <si>
    <t xml:space="preserve">F-02</t>
  </si>
  <si>
    <t xml:space="preserve">2 of 15 sampled terminations had access disabled 26–31 hours after termination, exceeding the 24-hour SLA.</t>
  </si>
  <si>
    <t xml:space="preserve">Likely</t>
  </si>
  <si>
    <t xml:space="preserve">Termination tickets submitted after HR system nightly batch cutoff were not flagged for expedited handling.</t>
  </si>
  <si>
    <t xml:space="preserve">Implement real-time HR-to-IAM termination trigger (API-based) to replace nightly batch process; add automated escalation for tickets nearing SLA breach.</t>
  </si>
  <si>
    <t xml:space="preserve">Agreed. Engineering to scope real-time integration; interim manual escalation control implemented immediately.</t>
  </si>
  <si>
    <t xml:space="preserve">2026-09-30</t>
  </si>
  <si>
    <t xml:space="preserve">In Progress</t>
  </si>
  <si>
    <t xml:space="preserve">F-03</t>
  </si>
  <si>
    <t xml:space="preserve">1 of 10 sampled critical vulnerability findings was remediated in 42 days, exceeding the 30-day SLA; no documented risk acceptance was on file for the delay.</t>
  </si>
  <si>
    <t xml:space="preserve">High</t>
  </si>
  <si>
    <t xml:space="preserve">Major</t>
  </si>
  <si>
    <t xml:space="preserve">Patch required a maintenance window coordinated with a third-party vendor, and no interim compensating control or formal risk acceptance was documented.</t>
  </si>
  <si>
    <t xml:space="preserve">Require documented risk acceptance (with compensating control) for any critical finding projected to exceed SLA; escalate vendor-dependent patches to management within 5 days of SLA risk.</t>
  </si>
  <si>
    <t xml:space="preserve">Agreed. Vulnerability management procedure to be updated by 8/31/2026.</t>
  </si>
  <si>
    <t xml:space="preserve">2026-08-31</t>
  </si>
  <si>
    <t xml:space="preserve">F-04</t>
  </si>
  <si>
    <t xml:space="preserve">Current SOC 2 report on file for 2 of 8 critical vendors was more than 15 months old at time of testing.</t>
  </si>
  <si>
    <t xml:space="preserve">No automated tracking/reminder process exists for vendor attestation expiration dates.</t>
  </si>
  <si>
    <t xml:space="preserve">Implement vendor risk tracker with automated 90-day-prior expiration reminders; request updated SOC 2 reports from the 2 affected vendors.</t>
  </si>
  <si>
    <t xml:space="preserve">Agreed. Vendor Risk Manager implementing tracker in GRC tool by 9/15/2026.</t>
  </si>
  <si>
    <t xml:space="preserve">2026-09-15</t>
  </si>
  <si>
    <t xml:space="preserve">F-05</t>
  </si>
  <si>
    <t xml:space="preserve">FY2026 DR test met RTO for 4 of 5 in-scope systems; the claims-processing system exceeded target RTO by 3 hours due to manual failover steps.</t>
  </si>
  <si>
    <t xml:space="preserve">Failover runbook for claims-processing system has not been updated to reflect current infrastructure and relies on manual steps.</t>
  </si>
  <si>
    <t xml:space="preserve">Update and automate failover runbook for claims-processing system; retest at next scheduled DR exercise.</t>
  </si>
  <si>
    <t xml:space="preserve">Agreed. IT Operations to update runbook by 9/1/2026 and validate at Q4 DR test.</t>
  </si>
  <si>
    <t xml:space="preserve">2026-12-01</t>
  </si>
  <si>
    <t xml:space="preserve">Audit Summary Dashboard</t>
  </si>
  <si>
    <t xml:space="preserve">Auto-calculated from Controls Matrix and Risk &amp; Findings Log</t>
  </si>
  <si>
    <t xml:space="preserve">Controls Testing Summary</t>
  </si>
  <si>
    <t xml:space="preserve">Total Controls Tested</t>
  </si>
  <si>
    <t xml:space="preserve">Fail</t>
  </si>
  <si>
    <t xml:space="preserve">Pass Rate (incl. exceptions)</t>
  </si>
  <si>
    <t xml:space="preserve">Findings by Risk Rating</t>
  </si>
  <si>
    <t xml:space="preserve">Low</t>
  </si>
  <si>
    <t xml:space="preserve">Findings by Status</t>
  </si>
  <si>
    <t xml:space="preserve">Closed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</si>
</sst>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2A44"/>
      <name val="Calibri"/>
      <family val="0"/>
      <charset val="1"/>
    </font>
    <font>
      <sz val="14"/>
      <color rgb="FF444444"/>
      <name val="Calibri"/>
      <family val="0"/>
      <charset val="1"/>
    </font>
    <font>
      <i val="true"/>
      <sz val="11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2"/>
      <color rgb="FF1F2A44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0"/>
      <color rgb="FF1F2A44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2EFEA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A227"/>
      </bottom>
      <diagonal/>
    </border>
    <border diagonalUp="false" diagonalDown="false">
      <left/>
      <right/>
      <top/>
      <bottom style="hair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8E6C9"/>
        </patternFill>
      </fill>
    </dxf>
    <dxf>
      <fill>
        <patternFill>
          <bgColor rgb="FFFFF3B0"/>
        </patternFill>
      </fill>
    </dxf>
    <dxf>
      <fill>
        <patternFill>
          <bgColor rgb="FFF5B7B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EFE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3B0"/>
      <rgbColor rgb="FF99CCFF"/>
      <rgbColor rgb="FFFF99CC"/>
      <rgbColor rgb="FFCC99FF"/>
      <rgbColor rgb="FFF5B7B1"/>
      <rgbColor rgb="FF3366FF"/>
      <rgbColor rgb="FF33CCCC"/>
      <rgbColor rgb="FF99CC00"/>
      <rgbColor rgb="FFFFCC00"/>
      <rgbColor rgb="FFC9A227"/>
      <rgbColor rgb="FFFF6600"/>
      <rgbColor rgb="FF666699"/>
      <rgbColor rgb="FF969696"/>
      <rgbColor rgb="FF003366"/>
      <rgbColor rgb="FF339966"/>
      <rgbColor rgb="FF003300"/>
      <rgbColor rgb="FF444444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60"/>
    <col collapsed="false" customWidth="true" hidden="false" outlineLevel="0" max="5" min="4" style="0" width="20"/>
  </cols>
  <sheetData>
    <row r="3" customFormat="false" ht="26.8" hidden="false" customHeight="false" outlineLevel="0" collapsed="false">
      <c r="B3" s="1" t="s">
        <v>0</v>
      </c>
      <c r="C3" s="1"/>
      <c r="D3" s="1"/>
    </row>
    <row r="4" customFormat="false" ht="17.35" hidden="false" customHeight="false" outlineLevel="0" collapsed="false">
      <c r="B4" s="2" t="s">
        <v>1</v>
      </c>
      <c r="C4" s="2"/>
      <c r="D4" s="2"/>
    </row>
    <row r="6" customFormat="false" ht="15" hidden="false" customHeight="false" outlineLevel="0" collapsed="false">
      <c r="B6" s="3" t="s">
        <v>2</v>
      </c>
      <c r="C6" s="3"/>
      <c r="D6" s="3"/>
    </row>
    <row r="9" customFormat="false" ht="15" hidden="false" customHeight="false" outlineLevel="0" collapsed="false">
      <c r="B9" s="4" t="s">
        <v>3</v>
      </c>
      <c r="C9" s="5" t="s">
        <v>4</v>
      </c>
    </row>
    <row r="10" customFormat="false" ht="15" hidden="false" customHeight="false" outlineLevel="0" collapsed="false">
      <c r="B10" s="4" t="s">
        <v>5</v>
      </c>
      <c r="C10" s="5" t="s">
        <v>6</v>
      </c>
    </row>
    <row r="11" customFormat="false" ht="15" hidden="false" customHeight="false" outlineLevel="0" collapsed="false">
      <c r="B11" s="4" t="s">
        <v>7</v>
      </c>
      <c r="C11" s="5" t="s">
        <v>8</v>
      </c>
    </row>
    <row r="12" customFormat="false" ht="15" hidden="false" customHeight="false" outlineLevel="0" collapsed="false">
      <c r="B12" s="4" t="s">
        <v>9</v>
      </c>
      <c r="C12" s="5" t="s">
        <v>10</v>
      </c>
    </row>
    <row r="13" customFormat="false" ht="15" hidden="false" customHeight="false" outlineLevel="0" collapsed="false">
      <c r="B13" s="4" t="s">
        <v>11</v>
      </c>
      <c r="C13" s="5" t="s">
        <v>12</v>
      </c>
    </row>
    <row r="14" customFormat="false" ht="15" hidden="false" customHeight="false" outlineLevel="0" collapsed="false">
      <c r="B14" s="4" t="s">
        <v>13</v>
      </c>
      <c r="C14" s="5" t="s">
        <v>14</v>
      </c>
    </row>
    <row r="16" customFormat="false" ht="15" hidden="false" customHeight="false" outlineLevel="0" collapsed="false">
      <c r="B16" s="6" t="s">
        <v>15</v>
      </c>
      <c r="C16" s="6"/>
      <c r="D16" s="6"/>
    </row>
    <row r="17" customFormat="false" ht="15.75" hidden="false" customHeight="true" outlineLevel="0" collapsed="false">
      <c r="B17" s="7" t="s">
        <v>16</v>
      </c>
      <c r="C17" s="7"/>
      <c r="D17" s="7"/>
    </row>
    <row r="18" customFormat="false" ht="15.75" hidden="false" customHeight="true" outlineLevel="0" collapsed="false">
      <c r="B18" s="7" t="s">
        <v>17</v>
      </c>
      <c r="C18" s="7"/>
      <c r="D18" s="7"/>
    </row>
    <row r="19" customFormat="false" ht="15.75" hidden="false" customHeight="true" outlineLevel="0" collapsed="false">
      <c r="B19" s="7" t="s">
        <v>18</v>
      </c>
      <c r="C19" s="7"/>
      <c r="D19" s="7"/>
    </row>
    <row r="20" customFormat="false" ht="15.75" hidden="false" customHeight="true" outlineLevel="0" collapsed="false">
      <c r="B20" s="7" t="s">
        <v>19</v>
      </c>
      <c r="C20" s="7"/>
      <c r="D20" s="7"/>
    </row>
  </sheetData>
  <mergeCells count="8">
    <mergeCell ref="B3:D3"/>
    <mergeCell ref="B4:D4"/>
    <mergeCell ref="B6:D6"/>
    <mergeCell ref="B16:D16"/>
    <mergeCell ref="B17:D17"/>
    <mergeCell ref="B18:D18"/>
    <mergeCell ref="B19:D19"/>
    <mergeCell ref="B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5" min="4" style="0" width="40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20"/>
    <col collapsed="false" customWidth="true" hidden="false" outlineLevel="0" max="9" min="9" style="0" width="15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13"/>
  </cols>
  <sheetData>
    <row r="1" customFormat="false" ht="30" hidden="false" customHeight="true" outlineLevel="0" collapsed="false">
      <c r="A1" s="8" t="s">
        <v>20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customFormat="false" ht="18" hidden="false" customHeight="true" outlineLevel="0" collapsed="false">
      <c r="A2" s="9" t="s">
        <v>21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customFormat="false" ht="31.5" hidden="false" customHeight="true" outlineLevel="0" collapsed="false">
      <c r="A4" s="10" t="s">
        <v>22</v>
      </c>
      <c r="B4" s="10" t="s">
        <v>23</v>
      </c>
      <c r="C4" s="10" t="s">
        <v>24</v>
      </c>
      <c r="D4" s="10" t="s">
        <v>25</v>
      </c>
      <c r="E4" s="10" t="s">
        <v>26</v>
      </c>
      <c r="F4" s="10" t="s">
        <v>27</v>
      </c>
      <c r="G4" s="10" t="s">
        <v>28</v>
      </c>
      <c r="H4" s="10" t="s">
        <v>29</v>
      </c>
      <c r="I4" s="10" t="s">
        <v>30</v>
      </c>
      <c r="J4" s="10" t="s">
        <v>31</v>
      </c>
      <c r="K4" s="10" t="s">
        <v>32</v>
      </c>
      <c r="L4" s="10" t="s">
        <v>33</v>
      </c>
    </row>
    <row r="5" customFormat="false" ht="30" hidden="false" customHeight="true" outlineLevel="0" collapsed="false">
      <c r="A5" s="11" t="s">
        <v>34</v>
      </c>
      <c r="B5" s="11" t="s">
        <v>35</v>
      </c>
      <c r="C5" s="11" t="s">
        <v>36</v>
      </c>
      <c r="D5" s="11" t="s">
        <v>37</v>
      </c>
      <c r="E5" s="11" t="s">
        <v>38</v>
      </c>
      <c r="F5" s="11" t="n">
        <v>25</v>
      </c>
      <c r="G5" s="11" t="s">
        <v>39</v>
      </c>
      <c r="H5" s="11" t="s">
        <v>40</v>
      </c>
      <c r="I5" s="11" t="s">
        <v>41</v>
      </c>
      <c r="J5" s="11" t="s">
        <v>42</v>
      </c>
      <c r="K5" s="11" t="s">
        <v>43</v>
      </c>
      <c r="L5" s="11" t="s">
        <v>44</v>
      </c>
    </row>
    <row r="6" customFormat="false" ht="30" hidden="false" customHeight="true" outlineLevel="0" collapsed="false">
      <c r="A6" s="11" t="s">
        <v>45</v>
      </c>
      <c r="B6" s="11" t="s">
        <v>35</v>
      </c>
      <c r="C6" s="11" t="s">
        <v>46</v>
      </c>
      <c r="D6" s="11" t="s">
        <v>47</v>
      </c>
      <c r="E6" s="11" t="s">
        <v>48</v>
      </c>
      <c r="F6" s="11" t="n">
        <v>2</v>
      </c>
      <c r="G6" s="11" t="s">
        <v>39</v>
      </c>
      <c r="H6" s="11" t="s">
        <v>49</v>
      </c>
      <c r="I6" s="11" t="s">
        <v>41</v>
      </c>
      <c r="J6" s="11" t="s">
        <v>50</v>
      </c>
      <c r="K6" s="11" t="s">
        <v>43</v>
      </c>
      <c r="L6" s="11" t="s">
        <v>44</v>
      </c>
    </row>
    <row r="7" customFormat="false" ht="30" hidden="false" customHeight="true" outlineLevel="0" collapsed="false">
      <c r="A7" s="11" t="s">
        <v>51</v>
      </c>
      <c r="B7" s="11" t="s">
        <v>52</v>
      </c>
      <c r="C7" s="11" t="s">
        <v>53</v>
      </c>
      <c r="D7" s="11" t="s">
        <v>54</v>
      </c>
      <c r="E7" s="11" t="s">
        <v>55</v>
      </c>
      <c r="F7" s="11" t="n">
        <v>20</v>
      </c>
      <c r="G7" s="11" t="s">
        <v>39</v>
      </c>
      <c r="H7" s="11" t="s">
        <v>56</v>
      </c>
      <c r="I7" s="11" t="s">
        <v>41</v>
      </c>
      <c r="J7" s="11" t="s">
        <v>57</v>
      </c>
      <c r="K7" s="11" t="s">
        <v>43</v>
      </c>
      <c r="L7" s="11" t="s">
        <v>58</v>
      </c>
    </row>
    <row r="8" customFormat="false" ht="30" hidden="false" customHeight="true" outlineLevel="0" collapsed="false">
      <c r="A8" s="11" t="s">
        <v>59</v>
      </c>
      <c r="B8" s="11" t="s">
        <v>60</v>
      </c>
      <c r="C8" s="11" t="s">
        <v>61</v>
      </c>
      <c r="D8" s="11" t="s">
        <v>62</v>
      </c>
      <c r="E8" s="11" t="s">
        <v>63</v>
      </c>
      <c r="F8" s="11" t="n">
        <v>1</v>
      </c>
      <c r="G8" s="11" t="s">
        <v>64</v>
      </c>
      <c r="H8" s="11" t="s">
        <v>65</v>
      </c>
      <c r="I8" s="11" t="s">
        <v>66</v>
      </c>
      <c r="J8" s="11" t="s">
        <v>67</v>
      </c>
      <c r="K8" s="11" t="s">
        <v>43</v>
      </c>
      <c r="L8" s="11" t="s">
        <v>68</v>
      </c>
    </row>
    <row r="9" customFormat="false" ht="30" hidden="false" customHeight="true" outlineLevel="0" collapsed="false">
      <c r="A9" s="11" t="s">
        <v>69</v>
      </c>
      <c r="B9" s="11" t="s">
        <v>70</v>
      </c>
      <c r="C9" s="11" t="s">
        <v>71</v>
      </c>
      <c r="D9" s="11" t="s">
        <v>72</v>
      </c>
      <c r="E9" s="11" t="s">
        <v>73</v>
      </c>
      <c r="F9" s="11" t="n">
        <v>10</v>
      </c>
      <c r="G9" s="11" t="s">
        <v>39</v>
      </c>
      <c r="H9" s="11" t="s">
        <v>74</v>
      </c>
      <c r="I9" s="11" t="s">
        <v>41</v>
      </c>
      <c r="J9" s="11" t="s">
        <v>75</v>
      </c>
      <c r="K9" s="11" t="s">
        <v>43</v>
      </c>
      <c r="L9" s="11" t="s">
        <v>76</v>
      </c>
    </row>
    <row r="10" customFormat="false" ht="30" hidden="false" customHeight="true" outlineLevel="0" collapsed="false">
      <c r="A10" s="11" t="s">
        <v>77</v>
      </c>
      <c r="B10" s="11" t="s">
        <v>78</v>
      </c>
      <c r="C10" s="11" t="s">
        <v>79</v>
      </c>
      <c r="D10" s="11" t="s">
        <v>80</v>
      </c>
      <c r="E10" s="11" t="s">
        <v>81</v>
      </c>
      <c r="F10" s="11" t="n">
        <v>15</v>
      </c>
      <c r="G10" s="11" t="s">
        <v>39</v>
      </c>
      <c r="H10" s="11" t="s">
        <v>82</v>
      </c>
      <c r="I10" s="11" t="s">
        <v>41</v>
      </c>
      <c r="J10" s="11" t="s">
        <v>83</v>
      </c>
      <c r="K10" s="11" t="s">
        <v>43</v>
      </c>
      <c r="L10" s="11" t="s">
        <v>84</v>
      </c>
    </row>
    <row r="11" customFormat="false" ht="30" hidden="false" customHeight="true" outlineLevel="0" collapsed="false">
      <c r="A11" s="11" t="s">
        <v>85</v>
      </c>
      <c r="B11" s="11" t="s">
        <v>86</v>
      </c>
      <c r="C11" s="11" t="s">
        <v>87</v>
      </c>
      <c r="D11" s="11" t="s">
        <v>88</v>
      </c>
      <c r="E11" s="11" t="s">
        <v>89</v>
      </c>
      <c r="F11" s="11" t="n">
        <v>25</v>
      </c>
      <c r="G11" s="11" t="s">
        <v>39</v>
      </c>
      <c r="H11" s="11" t="s">
        <v>90</v>
      </c>
      <c r="I11" s="11" t="s">
        <v>41</v>
      </c>
      <c r="J11" s="11" t="s">
        <v>91</v>
      </c>
      <c r="K11" s="11" t="s">
        <v>43</v>
      </c>
      <c r="L11" s="11" t="s">
        <v>92</v>
      </c>
    </row>
    <row r="12" customFormat="false" ht="30" hidden="false" customHeight="true" outlineLevel="0" collapsed="false">
      <c r="A12" s="11" t="s">
        <v>93</v>
      </c>
      <c r="B12" s="11" t="s">
        <v>86</v>
      </c>
      <c r="C12" s="11" t="s">
        <v>94</v>
      </c>
      <c r="D12" s="11" t="s">
        <v>95</v>
      </c>
      <c r="E12" s="11" t="s">
        <v>96</v>
      </c>
      <c r="F12" s="11" t="n">
        <v>15</v>
      </c>
      <c r="G12" s="11" t="s">
        <v>64</v>
      </c>
      <c r="H12" s="11" t="s">
        <v>97</v>
      </c>
      <c r="I12" s="11" t="s">
        <v>66</v>
      </c>
      <c r="J12" s="11" t="s">
        <v>91</v>
      </c>
      <c r="K12" s="11" t="s">
        <v>43</v>
      </c>
      <c r="L12" s="11" t="s">
        <v>92</v>
      </c>
    </row>
    <row r="13" customFormat="false" ht="30" hidden="false" customHeight="true" outlineLevel="0" collapsed="false">
      <c r="A13" s="11" t="s">
        <v>98</v>
      </c>
      <c r="B13" s="11" t="s">
        <v>86</v>
      </c>
      <c r="C13" s="11" t="s">
        <v>99</v>
      </c>
      <c r="D13" s="11" t="s">
        <v>100</v>
      </c>
      <c r="E13" s="11" t="s">
        <v>101</v>
      </c>
      <c r="F13" s="11" t="n">
        <v>8</v>
      </c>
      <c r="G13" s="11" t="s">
        <v>39</v>
      </c>
      <c r="H13" s="11" t="s">
        <v>102</v>
      </c>
      <c r="I13" s="11" t="s">
        <v>41</v>
      </c>
      <c r="J13" s="11" t="s">
        <v>103</v>
      </c>
      <c r="K13" s="11" t="s">
        <v>43</v>
      </c>
      <c r="L13" s="11" t="s">
        <v>104</v>
      </c>
    </row>
    <row r="14" customFormat="false" ht="30" hidden="false" customHeight="true" outlineLevel="0" collapsed="false">
      <c r="A14" s="11" t="s">
        <v>105</v>
      </c>
      <c r="B14" s="11" t="s">
        <v>86</v>
      </c>
      <c r="C14" s="11" t="s">
        <v>106</v>
      </c>
      <c r="D14" s="11" t="s">
        <v>107</v>
      </c>
      <c r="E14" s="11" t="s">
        <v>108</v>
      </c>
      <c r="F14" s="11" t="n">
        <v>5</v>
      </c>
      <c r="G14" s="11" t="s">
        <v>39</v>
      </c>
      <c r="H14" s="11" t="s">
        <v>109</v>
      </c>
      <c r="I14" s="11" t="s">
        <v>41</v>
      </c>
      <c r="J14" s="11" t="s">
        <v>91</v>
      </c>
      <c r="K14" s="11" t="s">
        <v>43</v>
      </c>
      <c r="L14" s="11" t="s">
        <v>104</v>
      </c>
    </row>
    <row r="15" customFormat="false" ht="30" hidden="false" customHeight="true" outlineLevel="0" collapsed="false">
      <c r="A15" s="11" t="s">
        <v>110</v>
      </c>
      <c r="B15" s="11" t="s">
        <v>86</v>
      </c>
      <c r="C15" s="11" t="s">
        <v>111</v>
      </c>
      <c r="D15" s="11" t="s">
        <v>112</v>
      </c>
      <c r="E15" s="11" t="s">
        <v>113</v>
      </c>
      <c r="F15" s="11" t="n">
        <v>6</v>
      </c>
      <c r="G15" s="11" t="s">
        <v>39</v>
      </c>
      <c r="H15" s="11" t="s">
        <v>114</v>
      </c>
      <c r="I15" s="11" t="s">
        <v>41</v>
      </c>
      <c r="J15" s="11" t="s">
        <v>115</v>
      </c>
      <c r="K15" s="11" t="s">
        <v>43</v>
      </c>
      <c r="L15" s="11" t="s">
        <v>116</v>
      </c>
    </row>
    <row r="16" customFormat="false" ht="30" hidden="false" customHeight="true" outlineLevel="0" collapsed="false">
      <c r="A16" s="11" t="s">
        <v>117</v>
      </c>
      <c r="B16" s="11" t="s">
        <v>86</v>
      </c>
      <c r="C16" s="11" t="s">
        <v>118</v>
      </c>
      <c r="D16" s="11" t="s">
        <v>119</v>
      </c>
      <c r="E16" s="11" t="s">
        <v>120</v>
      </c>
      <c r="F16" s="11" t="n">
        <v>12</v>
      </c>
      <c r="G16" s="11" t="s">
        <v>39</v>
      </c>
      <c r="H16" s="11" t="s">
        <v>121</v>
      </c>
      <c r="I16" s="11" t="s">
        <v>41</v>
      </c>
      <c r="J16" s="11" t="s">
        <v>75</v>
      </c>
      <c r="K16" s="11" t="s">
        <v>43</v>
      </c>
      <c r="L16" s="11" t="s">
        <v>116</v>
      </c>
    </row>
    <row r="17" customFormat="false" ht="30" hidden="false" customHeight="true" outlineLevel="0" collapsed="false">
      <c r="A17" s="11" t="s">
        <v>122</v>
      </c>
      <c r="B17" s="11" t="s">
        <v>123</v>
      </c>
      <c r="C17" s="11" t="s">
        <v>124</v>
      </c>
      <c r="D17" s="11" t="s">
        <v>125</v>
      </c>
      <c r="E17" s="11" t="s">
        <v>126</v>
      </c>
      <c r="F17" s="11" t="n">
        <v>10</v>
      </c>
      <c r="G17" s="11" t="s">
        <v>64</v>
      </c>
      <c r="H17" s="11" t="s">
        <v>127</v>
      </c>
      <c r="I17" s="11" t="s">
        <v>66</v>
      </c>
      <c r="J17" s="11" t="s">
        <v>128</v>
      </c>
      <c r="K17" s="11" t="s">
        <v>43</v>
      </c>
      <c r="L17" s="11" t="s">
        <v>129</v>
      </c>
    </row>
    <row r="18" customFormat="false" ht="30" hidden="false" customHeight="true" outlineLevel="0" collapsed="false">
      <c r="A18" s="11" t="s">
        <v>130</v>
      </c>
      <c r="B18" s="11" t="s">
        <v>123</v>
      </c>
      <c r="C18" s="11" t="s">
        <v>131</v>
      </c>
      <c r="D18" s="11" t="s">
        <v>132</v>
      </c>
      <c r="E18" s="11" t="s">
        <v>133</v>
      </c>
      <c r="F18" s="11" t="n">
        <v>4</v>
      </c>
      <c r="G18" s="11" t="s">
        <v>39</v>
      </c>
      <c r="H18" s="11" t="s">
        <v>134</v>
      </c>
      <c r="I18" s="11" t="s">
        <v>41</v>
      </c>
      <c r="J18" s="11" t="s">
        <v>67</v>
      </c>
      <c r="K18" s="11" t="s">
        <v>43</v>
      </c>
      <c r="L18" s="11" t="s">
        <v>129</v>
      </c>
    </row>
    <row r="19" customFormat="false" ht="30" hidden="false" customHeight="true" outlineLevel="0" collapsed="false">
      <c r="A19" s="11" t="s">
        <v>135</v>
      </c>
      <c r="B19" s="11" t="s">
        <v>123</v>
      </c>
      <c r="C19" s="11" t="s">
        <v>136</v>
      </c>
      <c r="D19" s="11" t="s">
        <v>137</v>
      </c>
      <c r="E19" s="11" t="s">
        <v>138</v>
      </c>
      <c r="F19" s="11" t="n">
        <v>20</v>
      </c>
      <c r="G19" s="11" t="s">
        <v>39</v>
      </c>
      <c r="H19" s="11" t="s">
        <v>139</v>
      </c>
      <c r="I19" s="11" t="s">
        <v>41</v>
      </c>
      <c r="J19" s="11" t="s">
        <v>140</v>
      </c>
      <c r="K19" s="11" t="s">
        <v>43</v>
      </c>
      <c r="L19" s="11" t="s">
        <v>141</v>
      </c>
    </row>
    <row r="20" customFormat="false" ht="30" hidden="false" customHeight="true" outlineLevel="0" collapsed="false">
      <c r="A20" s="11" t="s">
        <v>142</v>
      </c>
      <c r="B20" s="11" t="s">
        <v>143</v>
      </c>
      <c r="C20" s="11" t="s">
        <v>144</v>
      </c>
      <c r="D20" s="11" t="s">
        <v>145</v>
      </c>
      <c r="E20" s="11" t="s">
        <v>146</v>
      </c>
      <c r="F20" s="11" t="n">
        <v>6</v>
      </c>
      <c r="G20" s="11" t="s">
        <v>39</v>
      </c>
      <c r="H20" s="11" t="s">
        <v>147</v>
      </c>
      <c r="I20" s="11" t="s">
        <v>41</v>
      </c>
      <c r="J20" s="11" t="s">
        <v>140</v>
      </c>
      <c r="K20" s="11" t="s">
        <v>43</v>
      </c>
      <c r="L20" s="11" t="s">
        <v>141</v>
      </c>
    </row>
    <row r="21" customFormat="false" ht="30" hidden="false" customHeight="true" outlineLevel="0" collapsed="false">
      <c r="A21" s="11" t="s">
        <v>148</v>
      </c>
      <c r="B21" s="11" t="s">
        <v>149</v>
      </c>
      <c r="C21" s="11" t="s">
        <v>150</v>
      </c>
      <c r="D21" s="11" t="s">
        <v>151</v>
      </c>
      <c r="E21" s="11" t="s">
        <v>152</v>
      </c>
      <c r="F21" s="11" t="n">
        <v>8</v>
      </c>
      <c r="G21" s="11" t="s">
        <v>64</v>
      </c>
      <c r="H21" s="11" t="s">
        <v>153</v>
      </c>
      <c r="I21" s="11" t="s">
        <v>66</v>
      </c>
      <c r="J21" s="11" t="s">
        <v>154</v>
      </c>
      <c r="K21" s="11" t="s">
        <v>43</v>
      </c>
      <c r="L21" s="11" t="s">
        <v>155</v>
      </c>
    </row>
    <row r="22" customFormat="false" ht="30" hidden="false" customHeight="true" outlineLevel="0" collapsed="false">
      <c r="A22" s="11" t="s">
        <v>156</v>
      </c>
      <c r="B22" s="11" t="s">
        <v>157</v>
      </c>
      <c r="C22" s="11" t="s">
        <v>158</v>
      </c>
      <c r="D22" s="11" t="s">
        <v>159</v>
      </c>
      <c r="E22" s="11" t="s">
        <v>160</v>
      </c>
      <c r="F22" s="11" t="n">
        <v>1</v>
      </c>
      <c r="G22" s="11" t="s">
        <v>39</v>
      </c>
      <c r="H22" s="11" t="s">
        <v>161</v>
      </c>
      <c r="I22" s="11" t="s">
        <v>41</v>
      </c>
      <c r="J22" s="11" t="s">
        <v>83</v>
      </c>
      <c r="K22" s="11" t="s">
        <v>43</v>
      </c>
      <c r="L22" s="11" t="s">
        <v>162</v>
      </c>
    </row>
    <row r="23" customFormat="false" ht="30" hidden="false" customHeight="true" outlineLevel="0" collapsed="false">
      <c r="A23" s="11" t="s">
        <v>163</v>
      </c>
      <c r="B23" s="11" t="s">
        <v>157</v>
      </c>
      <c r="C23" s="11" t="s">
        <v>164</v>
      </c>
      <c r="D23" s="11" t="s">
        <v>165</v>
      </c>
      <c r="E23" s="11" t="s">
        <v>166</v>
      </c>
      <c r="F23" s="11" t="n">
        <v>3</v>
      </c>
      <c r="G23" s="11" t="s">
        <v>39</v>
      </c>
      <c r="H23" s="11" t="s">
        <v>167</v>
      </c>
      <c r="I23" s="11" t="s">
        <v>41</v>
      </c>
      <c r="J23" s="11" t="s">
        <v>168</v>
      </c>
      <c r="K23" s="11" t="s">
        <v>43</v>
      </c>
      <c r="L23" s="11" t="s">
        <v>162</v>
      </c>
    </row>
    <row r="24" customFormat="false" ht="30" hidden="false" customHeight="true" outlineLevel="0" collapsed="false">
      <c r="A24" s="11" t="s">
        <v>169</v>
      </c>
      <c r="B24" s="11" t="s">
        <v>157</v>
      </c>
      <c r="C24" s="11" t="s">
        <v>170</v>
      </c>
      <c r="D24" s="11" t="s">
        <v>171</v>
      </c>
      <c r="E24" s="11" t="s">
        <v>172</v>
      </c>
      <c r="F24" s="11" t="n">
        <v>1</v>
      </c>
      <c r="G24" s="11" t="s">
        <v>64</v>
      </c>
      <c r="H24" s="11" t="s">
        <v>173</v>
      </c>
      <c r="I24" s="11" t="s">
        <v>66</v>
      </c>
      <c r="J24" s="11" t="s">
        <v>83</v>
      </c>
      <c r="K24" s="11" t="s">
        <v>43</v>
      </c>
      <c r="L24" s="11" t="s">
        <v>174</v>
      </c>
    </row>
    <row r="25" customFormat="false" ht="30" hidden="false" customHeight="true" outlineLevel="0" collapsed="false">
      <c r="A25" s="11" t="s">
        <v>175</v>
      </c>
      <c r="B25" s="11" t="s">
        <v>176</v>
      </c>
      <c r="C25" s="11" t="s">
        <v>177</v>
      </c>
      <c r="D25" s="11" t="s">
        <v>178</v>
      </c>
      <c r="E25" s="11" t="s">
        <v>179</v>
      </c>
      <c r="F25" s="11" t="n">
        <v>4</v>
      </c>
      <c r="G25" s="11" t="s">
        <v>39</v>
      </c>
      <c r="H25" s="11" t="s">
        <v>180</v>
      </c>
      <c r="I25" s="11" t="s">
        <v>41</v>
      </c>
      <c r="J25" s="11" t="s">
        <v>181</v>
      </c>
      <c r="K25" s="11" t="s">
        <v>43</v>
      </c>
      <c r="L25" s="11" t="s">
        <v>182</v>
      </c>
    </row>
    <row r="26" customFormat="false" ht="30" hidden="false" customHeight="true" outlineLevel="0" collapsed="false">
      <c r="A26" s="11" t="s">
        <v>183</v>
      </c>
      <c r="B26" s="11" t="s">
        <v>176</v>
      </c>
      <c r="C26" s="11" t="s">
        <v>184</v>
      </c>
      <c r="D26" s="11" t="s">
        <v>185</v>
      </c>
      <c r="E26" s="11" t="s">
        <v>186</v>
      </c>
      <c r="F26" s="11" t="n">
        <v>5</v>
      </c>
      <c r="G26" s="11" t="s">
        <v>39</v>
      </c>
      <c r="H26" s="11" t="s">
        <v>187</v>
      </c>
      <c r="I26" s="11" t="s">
        <v>41</v>
      </c>
      <c r="J26" s="11" t="s">
        <v>188</v>
      </c>
      <c r="K26" s="11" t="s">
        <v>43</v>
      </c>
      <c r="L26" s="11" t="s">
        <v>182</v>
      </c>
    </row>
  </sheetData>
  <mergeCells count="2">
    <mergeCell ref="A1:L1"/>
    <mergeCell ref="A2:L2"/>
  </mergeCells>
  <conditionalFormatting sqref="G5:G26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"Pass with Exception"</formula>
    </cfRule>
    <cfRule type="cellIs" priority="4" operator="equal" aboveAverage="0" equalAverage="0" bottom="0" percent="0" rank="0" text="" dxfId="2">
      <formula>"Fail"</formula>
    </cfRule>
  </conditionalFormatting>
  <conditionalFormatting sqref="I5:I26">
    <cfRule type="cellIs" priority="5" operator="equal" aboveAverage="0" equalAverage="0" bottom="0" percent="0" rank="0" text="" dxfId="1">
      <formula>"Yes"</formula>
    </cfRule>
  </conditionalFormatting>
  <dataValidations count="2">
    <dataValidation allowBlank="true" errorStyle="stop" operator="between" showDropDown="false" showErrorMessage="false" showInputMessage="false" sqref="G5:G26" type="list">
      <formula1>"Pass,Pass with Exception,Fail,Not Tested"</formula1>
      <formula2>0</formula2>
    </dataValidation>
    <dataValidation allowBlank="true" errorStyle="stop" operator="between" showDropDown="false" showErrorMessage="false" showInputMessage="false" sqref="I5:I2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38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26"/>
    <col collapsed="false" customWidth="true" hidden="false" outlineLevel="0" max="8" min="8" style="0" width="36"/>
    <col collapsed="false" customWidth="true" hidden="false" outlineLevel="0" max="9" min="9" style="0" width="32"/>
    <col collapsed="false" customWidth="true" hidden="false" outlineLevel="0" max="10" min="10" style="0" width="18"/>
    <col collapsed="false" customWidth="true" hidden="false" outlineLevel="0" max="12" min="11" style="0" width="13"/>
  </cols>
  <sheetData>
    <row r="1" customFormat="false" ht="30" hidden="false" customHeight="true" outlineLevel="0" collapsed="false">
      <c r="A1" s="8" t="s">
        <v>189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customFormat="false" ht="18" hidden="false" customHeight="true" outlineLevel="0" collapsed="false">
      <c r="A2" s="9" t="s">
        <v>190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customFormat="false" ht="31.5" hidden="false" customHeight="true" outlineLevel="0" collapsed="false">
      <c r="A4" s="10" t="s">
        <v>191</v>
      </c>
      <c r="B4" s="10" t="s">
        <v>192</v>
      </c>
      <c r="C4" s="10" t="s">
        <v>193</v>
      </c>
      <c r="D4" s="10" t="s">
        <v>194</v>
      </c>
      <c r="E4" s="10" t="s">
        <v>195</v>
      </c>
      <c r="F4" s="10" t="s">
        <v>196</v>
      </c>
      <c r="G4" s="10" t="s">
        <v>197</v>
      </c>
      <c r="H4" s="10" t="s">
        <v>198</v>
      </c>
      <c r="I4" s="10" t="s">
        <v>199</v>
      </c>
      <c r="J4" s="10" t="s">
        <v>200</v>
      </c>
      <c r="K4" s="10" t="s">
        <v>201</v>
      </c>
      <c r="L4" s="10" t="s">
        <v>202</v>
      </c>
    </row>
    <row r="5" customFormat="false" ht="45.75" hidden="false" customHeight="true" outlineLevel="0" collapsed="false">
      <c r="A5" s="11" t="s">
        <v>203</v>
      </c>
      <c r="B5" s="11" t="s">
        <v>59</v>
      </c>
      <c r="C5" s="11" t="s">
        <v>204</v>
      </c>
      <c r="D5" s="11" t="s">
        <v>205</v>
      </c>
      <c r="E5" s="11" t="s">
        <v>206</v>
      </c>
      <c r="F5" s="11" t="s">
        <v>207</v>
      </c>
      <c r="G5" s="11" t="s">
        <v>208</v>
      </c>
      <c r="H5" s="11" t="s">
        <v>209</v>
      </c>
      <c r="I5" s="11" t="s">
        <v>210</v>
      </c>
      <c r="J5" s="11" t="s">
        <v>50</v>
      </c>
      <c r="K5" s="11" t="s">
        <v>211</v>
      </c>
      <c r="L5" s="11" t="s">
        <v>212</v>
      </c>
    </row>
    <row r="6" customFormat="false" ht="45.75" hidden="false" customHeight="true" outlineLevel="0" collapsed="false">
      <c r="A6" s="11" t="s">
        <v>213</v>
      </c>
      <c r="B6" s="11" t="s">
        <v>93</v>
      </c>
      <c r="C6" s="11" t="s">
        <v>214</v>
      </c>
      <c r="D6" s="11" t="s">
        <v>205</v>
      </c>
      <c r="E6" s="11" t="s">
        <v>215</v>
      </c>
      <c r="F6" s="11" t="s">
        <v>207</v>
      </c>
      <c r="G6" s="11" t="s">
        <v>216</v>
      </c>
      <c r="H6" s="11" t="s">
        <v>217</v>
      </c>
      <c r="I6" s="11" t="s">
        <v>218</v>
      </c>
      <c r="J6" s="11" t="s">
        <v>91</v>
      </c>
      <c r="K6" s="11" t="s">
        <v>219</v>
      </c>
      <c r="L6" s="11" t="s">
        <v>220</v>
      </c>
    </row>
    <row r="7" customFormat="false" ht="45.75" hidden="false" customHeight="true" outlineLevel="0" collapsed="false">
      <c r="A7" s="11" t="s">
        <v>221</v>
      </c>
      <c r="B7" s="11" t="s">
        <v>122</v>
      </c>
      <c r="C7" s="11" t="s">
        <v>222</v>
      </c>
      <c r="D7" s="11" t="s">
        <v>223</v>
      </c>
      <c r="E7" s="11" t="s">
        <v>215</v>
      </c>
      <c r="F7" s="11" t="s">
        <v>224</v>
      </c>
      <c r="G7" s="11" t="s">
        <v>225</v>
      </c>
      <c r="H7" s="11" t="s">
        <v>226</v>
      </c>
      <c r="I7" s="11" t="s">
        <v>227</v>
      </c>
      <c r="J7" s="11" t="s">
        <v>128</v>
      </c>
      <c r="K7" s="11" t="s">
        <v>228</v>
      </c>
      <c r="L7" s="11" t="s">
        <v>212</v>
      </c>
    </row>
    <row r="8" customFormat="false" ht="45.75" hidden="false" customHeight="true" outlineLevel="0" collapsed="false">
      <c r="A8" s="11" t="s">
        <v>229</v>
      </c>
      <c r="B8" s="11" t="s">
        <v>148</v>
      </c>
      <c r="C8" s="11" t="s">
        <v>230</v>
      </c>
      <c r="D8" s="11" t="s">
        <v>205</v>
      </c>
      <c r="E8" s="11" t="s">
        <v>206</v>
      </c>
      <c r="F8" s="11" t="s">
        <v>207</v>
      </c>
      <c r="G8" s="11" t="s">
        <v>231</v>
      </c>
      <c r="H8" s="11" t="s">
        <v>232</v>
      </c>
      <c r="I8" s="11" t="s">
        <v>233</v>
      </c>
      <c r="J8" s="11" t="s">
        <v>154</v>
      </c>
      <c r="K8" s="11" t="s">
        <v>234</v>
      </c>
      <c r="L8" s="11" t="s">
        <v>212</v>
      </c>
    </row>
    <row r="9" customFormat="false" ht="45.75" hidden="false" customHeight="true" outlineLevel="0" collapsed="false">
      <c r="A9" s="11" t="s">
        <v>235</v>
      </c>
      <c r="B9" s="11" t="s">
        <v>169</v>
      </c>
      <c r="C9" s="11" t="s">
        <v>236</v>
      </c>
      <c r="D9" s="11" t="s">
        <v>205</v>
      </c>
      <c r="E9" s="11" t="s">
        <v>206</v>
      </c>
      <c r="F9" s="11" t="s">
        <v>207</v>
      </c>
      <c r="G9" s="11" t="s">
        <v>237</v>
      </c>
      <c r="H9" s="11" t="s">
        <v>238</v>
      </c>
      <c r="I9" s="11" t="s">
        <v>239</v>
      </c>
      <c r="J9" s="11" t="s">
        <v>83</v>
      </c>
      <c r="K9" s="11" t="s">
        <v>240</v>
      </c>
      <c r="L9" s="11" t="s">
        <v>212</v>
      </c>
    </row>
  </sheetData>
  <mergeCells count="2">
    <mergeCell ref="A1:L1"/>
    <mergeCell ref="A2:L2"/>
  </mergeCells>
  <conditionalFormatting sqref="D5:D9">
    <cfRule type="cellIs" priority="2" operator="equal" aboveAverage="0" equalAverage="0" bottom="0" percent="0" rank="0" text="" dxfId="2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0">
      <formula>"Low"</formula>
    </cfRule>
  </conditionalFormatting>
  <conditionalFormatting sqref="L5:L9">
    <cfRule type="cellIs" priority="5" operator="equal" aboveAverage="0" equalAverage="0" bottom="0" percent="0" rank="0" text="" dxfId="2">
      <formula>"Open"</formula>
    </cfRule>
    <cfRule type="cellIs" priority="6" operator="equal" aboveAverage="0" equalAverage="0" bottom="0" percent="0" rank="0" text="" dxfId="1">
      <formula>"In Progress"</formula>
    </cfRule>
    <cfRule type="cellIs" priority="7" operator="equal" aboveAverage="0" equalAverage="0" bottom="0" percent="0" rank="0" text="" dxfId="0">
      <formula>"Closed"</formula>
    </cfRule>
  </conditionalFormatting>
  <dataValidations count="2">
    <dataValidation allowBlank="true" errorStyle="stop" operator="between" showDropDown="false" showErrorMessage="false" showInputMessage="false" sqref="D5:D9" type="list">
      <formula1>"Low,Medium,High"</formula1>
      <formula2>0</formula2>
    </dataValidation>
    <dataValidation allowBlank="true" errorStyle="stop" operator="between" showDropDown="false" showErrorMessage="false" showInputMessage="false" sqref="L5:L9" type="list">
      <formula1>"Open,In Progress,Closed"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6" min="3" style="0" width="14"/>
    <col collapsed="false" customWidth="true" hidden="false" outlineLevel="0" max="7" min="7" style="0" width="30"/>
  </cols>
  <sheetData>
    <row r="1" customFormat="false" ht="30" hidden="false" customHeight="true" outlineLevel="0" collapsed="false">
      <c r="A1" s="8" t="s">
        <v>241</v>
      </c>
      <c r="B1" s="8"/>
      <c r="C1" s="8"/>
      <c r="D1" s="8"/>
      <c r="E1" s="8"/>
      <c r="F1" s="8"/>
      <c r="G1" s="8"/>
    </row>
    <row r="2" customFormat="false" ht="18" hidden="false" customHeight="true" outlineLevel="0" collapsed="false">
      <c r="A2" s="9" t="s">
        <v>242</v>
      </c>
      <c r="B2" s="9"/>
      <c r="C2" s="9"/>
      <c r="D2" s="9"/>
      <c r="E2" s="9"/>
      <c r="F2" s="9"/>
      <c r="G2" s="9"/>
    </row>
    <row r="4" customFormat="false" ht="15" hidden="false" customHeight="false" outlineLevel="0" collapsed="false">
      <c r="B4" s="12" t="s">
        <v>243</v>
      </c>
    </row>
    <row r="5" customFormat="false" ht="15" hidden="false" customHeight="false" outlineLevel="0" collapsed="false">
      <c r="B5" s="5" t="s">
        <v>244</v>
      </c>
      <c r="C5" s="4" t="n">
        <f aca="false">COUNTA('Controls Matrix'!A5:A26)</f>
        <v>22</v>
      </c>
    </row>
    <row r="6" customFormat="false" ht="15" hidden="false" customHeight="false" outlineLevel="0" collapsed="false">
      <c r="B6" s="5" t="s">
        <v>39</v>
      </c>
      <c r="C6" s="4" t="n">
        <f aca="false">COUNTIF('Controls Matrix'!G5:G26,"Pass")</f>
        <v>17</v>
      </c>
    </row>
    <row r="7" customFormat="false" ht="15" hidden="false" customHeight="false" outlineLevel="0" collapsed="false">
      <c r="B7" s="5" t="s">
        <v>64</v>
      </c>
      <c r="C7" s="4" t="n">
        <f aca="false">COUNTIF('Controls Matrix'!G5:G26,"Pass with Exception")</f>
        <v>5</v>
      </c>
    </row>
    <row r="8" customFormat="false" ht="15" hidden="false" customHeight="false" outlineLevel="0" collapsed="false">
      <c r="B8" s="5" t="s">
        <v>245</v>
      </c>
      <c r="C8" s="4" t="n">
        <f aca="false">COUNTIF('Controls Matrix'!G5:G26,"Fail")</f>
        <v>0</v>
      </c>
    </row>
    <row r="9" customFormat="false" ht="15" hidden="false" customHeight="false" outlineLevel="0" collapsed="false">
      <c r="B9" s="5" t="s">
        <v>246</v>
      </c>
      <c r="C9" s="13" t="n">
        <f aca="false">(COUNTIF('Controls Matrix'!G5:G26,"Pass")+COUNTIF('Controls Matrix'!G5:G26,"Pass with Exception"))/COUNTA('Controls Matrix'!A5:A26)</f>
        <v>1</v>
      </c>
    </row>
    <row r="11" customFormat="false" ht="15" hidden="false" customHeight="false" outlineLevel="0" collapsed="false">
      <c r="B11" s="12" t="s">
        <v>247</v>
      </c>
    </row>
    <row r="12" customFormat="false" ht="15" hidden="false" customHeight="false" outlineLevel="0" collapsed="false">
      <c r="B12" s="5" t="s">
        <v>223</v>
      </c>
      <c r="C12" s="4" t="n">
        <f aca="false">COUNTIF('Risk &amp; Findings Log'!D5:D9,"High")</f>
        <v>1</v>
      </c>
    </row>
    <row r="13" customFormat="false" ht="15" hidden="false" customHeight="false" outlineLevel="0" collapsed="false">
      <c r="B13" s="5" t="s">
        <v>205</v>
      </c>
      <c r="C13" s="4" t="n">
        <f aca="false">COUNTIF('Risk &amp; Findings Log'!D5:D9,"Medium")</f>
        <v>4</v>
      </c>
    </row>
    <row r="14" customFormat="false" ht="15" hidden="false" customHeight="false" outlineLevel="0" collapsed="false">
      <c r="B14" s="5" t="s">
        <v>248</v>
      </c>
      <c r="C14" s="4" t="n">
        <f aca="false">COUNTIF('Risk &amp; Findings Log'!D5:D9,"Low")</f>
        <v>0</v>
      </c>
    </row>
    <row r="16" customFormat="false" ht="15" hidden="false" customHeight="false" outlineLevel="0" collapsed="false">
      <c r="B16" s="12" t="s">
        <v>249</v>
      </c>
    </row>
    <row r="17" customFormat="false" ht="15" hidden="false" customHeight="false" outlineLevel="0" collapsed="false">
      <c r="B17" s="5" t="s">
        <v>212</v>
      </c>
      <c r="C17" s="4" t="n">
        <f aca="false">COUNTIF('Risk &amp; Findings Log'!L5:L9,"Open")</f>
        <v>4</v>
      </c>
    </row>
    <row r="18" customFormat="false" ht="15" hidden="false" customHeight="false" outlineLevel="0" collapsed="false">
      <c r="B18" s="5" t="s">
        <v>220</v>
      </c>
      <c r="C18" s="4" t="n">
        <f aca="false">COUNTIF('Risk &amp; Findings Log'!L5:L9,"In Progress")</f>
        <v>1</v>
      </c>
    </row>
    <row r="19" customFormat="false" ht="15" hidden="false" customHeight="false" outlineLevel="0" collapsed="false">
      <c r="B19" s="5" t="s">
        <v>250</v>
      </c>
      <c r="C19" s="4" t="n">
        <f aca="false">COUNTIF('Risk &amp; Findings Log'!L5:L9,"Closed")</f>
        <v>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2026-07-01T17:46:11Z</dcterms:created>
  <dc:creator>openpyxl</dc:creator>
  <dc:description/>
  <dc:language>en-US</dc:language>
  <cp:lastModifiedBy/>
  <dcterms:modified xsi:type="dcterms:W3CDTF">2026-07-01T17:46:11Z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